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1. Мой процесс" r:id="rId1" sheetId="1" state="visible"/>
    <sheet name="2. Бюджет (TCO)" r:id="rId2" sheetId="2" state="visible"/>
    <sheet name="3. Эффект и окупаемость" r:id="rId3" sheetId="3" state="visible"/>
    <sheet name="4. Стресс-тест" r:id="rId4" sheetId="4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<sst xmlns="http://schemas.openxmlformats.org/spreadsheetml/2006/main" xmlns:a="http://schemas.openxmlformats.org/drawingml/2006/main" xmlns:c="http://schemas.openxmlformats.org/drawingml/2006/chart" xmlns:co="http://ncloudtech.com" xmlns:m="http://schemas.openxmlformats.org/officeDocument/2006/math" xmlns:mc="http://schemas.openxmlformats.org/markup-compatibility/2006" xmlns:o="urn:schemas-microsoft-com:office:office" xmlns:p="http://schemas.openxmlformats.org/presentationml/2006/main" xmlns:pic="http://schemas.openxmlformats.org/drawingml/2006/picture" xmlns:r="http://schemas.openxmlformats.org/officeDocument/2006/relationships" xmlns:s="http://schemas.openxmlformats.org/officeDocument/2006/sharedTypes" xmlns:sl="http://schemas.openxmlformats.org/schemaLibrary/2006/main" xmlns:v="urn:schemas-microsoft-com:vml" xmlns:w="http://schemas.openxmlformats.org/wordprocessingml/2006/main" xmlns:w14="http://schemas.microsoft.com/office/word/2010/wordml" xmlns:w15="http://schemas.microsoft.com/office/word/2012/wordml" xmlns:wp="http://schemas.openxmlformats.org/drawingml/2006/wordprocessingDrawing" xmlns:wpg="http://schemas.microsoft.com/office/word/2010/wordprocessingGroup" xmlns:wps="http://schemas.microsoft.com/office/word/2010/wordprocessingShape" xmlns:x14="http://schemas.microsoft.com/office/spreadsheetml/2009/9/main" xmlns:xdr="http://schemas.openxmlformats.org/drawingml/2006/spreadsheetDrawing" xmlns:xm="http://schemas.microsoft.com/office/excel/2006/main" mc:Ignorable="co w14 x14 w15">
  <si>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t>«ЭКОНОМИКА ИИ» — Шаблон расчёта</t>
  </si>
  <si>
    <t xml:space="preserve"> Синим цветом — ячейки для ввода · Чёрным — расчёты · Жёлтый фон — обязательно заполнить</t>
  </si>
  <si>
    <t>ШАГ 1 — ВЫБЕРИТЕ ВАШУ СФЕРУ</t>
  </si>
  <si>
    <t>Ваша сфера деятельности</t>
  </si>
  <si>
    <t>Банковская автоматизация</t>
  </si>
  <si>
    <t>Выберите из списка: HR / Медицина / Маркетинг / Логистика / Ритейл / Другое</t>
  </si>
  <si>
    <t>IT Банка. Сопровожденние Пользователей АБС "ЦФТ-Банк"</t>
  </si>
  <si>
    <t>ШАГ 2 — ОПИШИТЕ ПРОЦЕСС, КОТОРЫЙ ХОТИТЕ АВТОМАТИЗИРОВАТЬ</t>
  </si>
  <si>
    <t>Название процесса</t>
  </si>
  <si>
    <r>
      <t xml:space="preserve">Разработка АРМа «Адаптация под DBI» </t>
    </r>
    <r>
      <t xml:space="preserve">
</t>
    </r>
    <r>
      <t xml:space="preserve">для перехода АБС «ЦФТ-Банк» </t>
    </r>
    <r>
      <t xml:space="preserve">
</t>
    </r>
    <r>
      <t xml:space="preserve">с Платформы 1 на 2MCA DBI </t>
    </r>
    <r>
      <t xml:space="preserve">
</t>
    </r>
  </si>
  <si>
    <t>HR: скрининг резюме | Медицина: обработка карточек пациентов | Логистика: планирование маршрутов | Маркетинг: подготовка отчётов | Ответы на заявки пользователей в JIRA</t>
  </si>
  <si>
    <t>Что происходит сейчас (вход → выход)</t>
  </si>
  <si>
    <r>
      <t xml:space="preserve">На входе локальный код функционала на PL+ </t>
    </r>
    <r>
      <t xml:space="preserve">
</t>
    </r>
    <r>
      <t>На выходе откорректированный под требования DBI</t>
    </r>
  </si>
  <si>
    <t>Опишите одной строкой: что поступает на вход и что получается на выходе</t>
  </si>
  <si>
    <t>Где хранятся данные сейчас</t>
  </si>
  <si>
    <r>
      <t xml:space="preserve">В БД Oracle. Выгружаются с помощью </t>
    </r>
    <r>
      <t xml:space="preserve">CFT Platform IDE </t>
    </r>
    <r>
      <t xml:space="preserve">
</t>
    </r>
    <r>
      <t xml:space="preserve">в виде каталогов с текстовыми файлами с кодом </t>
    </r>
    <r>
      <t xml:space="preserve">
</t>
    </r>
    <r>
      <t>функционала, экранных форм и т.п.</t>
    </r>
  </si>
  <si>
    <t>Например: 1С / CRM / Excel / бумажные документы / несколько систем сразу / Outlook/JIRA</t>
  </si>
  <si>
    <t>Данные оцифрованы? (да / частично / нет)</t>
  </si>
  <si>
    <t>Да</t>
  </si>
  <si>
    <t>Если «нет» или «частично» — в бюджете нужна статья на подготовку данных</t>
  </si>
  <si>
    <t>ШАГ 3 — ЛЮДИ И ВРЕМЯ (основа для расчёта FTE)</t>
  </si>
  <si>
    <t>Сколько человек выполняют этот процесс</t>
  </si>
  <si>
    <t>Укажите количество сотрудников, занятых в процессе</t>
  </si>
  <si>
    <t>Сколько часов в день тратит ОДИН человек</t>
  </si>
  <si>
    <t>Только время на этот конкретный процесс, не всю смену</t>
  </si>
  <si>
    <t>Рабочих дней в месяце</t>
  </si>
  <si>
    <t>Обычно 22 рабочих дня в месяц</t>
  </si>
  <si>
    <t>Средний оклад сотрудника (₽/мес, «на руки»)</t>
  </si>
  <si>
    <t>Сумма, которую получает сотрудник. Налоги и накладные добавим автоматически</t>
  </si>
  <si>
    <t>Доля времени, которую займёт ИИ (%)</t>
  </si>
  <si>
    <t>Реалистично: 70–90%. Сложные случаи останутся людям.</t>
  </si>
  <si>
    <t>АВТОРАСЧЁТ — сколько времени занимает процесс</t>
  </si>
  <si>
    <t>Часов в месяц на весь процесс</t>
  </si>
  <si>
    <t>кол-во людей × часов/день × рабочих дней</t>
  </si>
  <si>
    <t>Высвобождаемые FTE (эквивалент полных ставок)</t>
  </si>
  <si>
    <t>Сколько полных ставок (FTE) мы реально высвобождаем с учётом того, что сотрудники заняты процессом не полный день</t>
  </si>
  <si>
    <t>Реальная стоимость одного FTE (с налогами и накладными)</t>
  </si>
  <si>
    <t>Оклад × 1.30 (налоги) × 1.40 (накладные расходы)</t>
  </si>
  <si>
    <t>💰 ПРЯМАЯ ЭКОНОМИЯ В МЕСЯЦ (Hard Benefits)</t>
  </si>
  <si>
    <t>Эта цифра перейдёт автоматически на лист «3. Эффект»</t>
  </si>
  <si>
    <t>➡  Перейдите на лист «2. Бюджет» и заполните статьи расходов</t>
  </si>
  <si>
    <t>💰  БЮДЖЕТ ИИ-ПРОЕКТА — Total Cost of Ownership (TCO)</t>
  </si>
  <si>
    <t>Синим — вводите свои цифры. Если статья не применима — оставьте 0.</t>
  </si>
  <si>
    <t>CAPEX — единовременные затраты на старте (платите один раз)</t>
  </si>
  <si>
    <t>Разработка / настройка ИИ-системы</t>
  </si>
  <si>
    <t>Оплата разработчику или вендору за создание системы</t>
  </si>
  <si>
    <t>Интеграция с вашими системами (1С, CRM…)</t>
  </si>
  <si>
    <t>Подключение ИИ к существующим программам. Заложите 50–100% от стоимости разработки</t>
  </si>
  <si>
    <t>Подготовка и очистка данных</t>
  </si>
  <si>
    <t>..</t>
  </si>
  <si>
    <t>Разметка данных (если нужно)</t>
  </si>
  <si>
    <t>Ручная разметка примеров для обучения модели. Стоимость: кол-во объектов × цена за объект</t>
  </si>
  <si>
    <t>Обучение сотрудников</t>
  </si>
  <si>
    <t>Тренинги, инструкции, адаптационный период</t>
  </si>
  <si>
    <t>Прочие единовременные расходы</t>
  </si>
  <si>
    <t>Например: юридическая экспертиза договора, лицензии на ПО</t>
  </si>
  <si>
    <t>ИТОГО CapEx</t>
  </si>
  <si>
    <t>← Это ваши стартовые инвестиции (IC в формуле NPV)</t>
  </si>
  <si>
    <t>OPEX — ежемесячные расходы на работу системы</t>
  </si>
  <si>
    <t>Подписка на облачный сервис / платформу</t>
  </si>
  <si>
    <t>Например: Nodul, Make, YandexGPT API, GigaChat API</t>
  </si>
  <si>
    <t>Токены API (оплата за запросы)</t>
  </si>
  <si>
    <t>Кол-во запросов/мес × средний размер запроса × цена токена</t>
  </si>
  <si>
    <t>Зарплата сотрудника поддержки (доля)</t>
  </si>
  <si>
    <t>Часть ставки человека, который следит за системой</t>
  </si>
  <si>
    <t>Переобучение модели (в пересчёте на мес)</t>
  </si>
  <si>
    <t>Если переобучаете раз в квартал — разделите стоимость на 3</t>
  </si>
  <si>
    <t>Прочие операционные расходы</t>
  </si>
  <si>
    <t>Мониторинг, аудит безопасности, резерв на ошибки ИИ</t>
  </si>
  <si>
    <t>ИТОГО OpEx в месяц</t>
  </si>
  <si>
    <t>ИТОГОВЫЙ TCO — полная стоимость владения</t>
  </si>
  <si>
    <t>TCO за первый год</t>
  </si>
  <si>
    <t>CapEx + OpEx × 12 месяцев</t>
  </si>
  <si>
    <t>TCO за второй год</t>
  </si>
  <si>
    <t>Только OpEx — CapEx уже не повторяется</t>
  </si>
  <si>
    <t>TCO за три года</t>
  </si>
  <si>
    <t>Год 1 + Год 2 + Год 3</t>
  </si>
  <si>
    <t>⚠️  СВЕТОФОР: доля скрытых расходов в CapEx</t>
  </si>
  <si>
    <t>Скрытые расходы (данные + разметка + интеграция)</t>
  </si>
  <si>
    <t>➡  Перейдите на лист «3. Эффект» для расчёта ROI и окупаемости</t>
  </si>
  <si>
    <t>📈  ЭФФЕКТ И ОКУПАЕМОСТЬ — ROI · Точка безубыточности · NPV</t>
  </si>
  <si>
    <t>Данные из листов 1 и 2 подтягиваются автоматически. Вам нужно заполнить только Soft Benefits.</t>
  </si>
  <si>
    <t>HARD BENEFITS — прямая экономия (считается автоматически)</t>
  </si>
  <si>
    <t>Высвобождённые FTE</t>
  </si>
  <si>
    <t>Из листа 1 — автоматически</t>
  </si>
  <si>
    <t>Реальная стоимость 1 FTE</t>
  </si>
  <si>
    <t>Оклад с налогами и накладными</t>
  </si>
  <si>
    <t>💰 Прямая экономия в месяц</t>
  </si>
  <si>
    <t>FTE × стоимость FTE</t>
  </si>
  <si>
    <t>Прямая экономия в год</t>
  </si>
  <si>
    <t>× 12 месяцев</t>
  </si>
  <si>
    <t>SOFT BENEFITS — скрытая прибыль (оцените сами)</t>
  </si>
  <si>
    <t>Рост выручки за счёт ИИ (%)</t>
  </si>
  <si>
    <t>HR: быстрее нанимаем → раньше закрываем вакансии → меньше потерь | Медицина: больше пациентов за то же время | Логистика: меньше опозданий → меньше штрафов</t>
  </si>
  <si>
    <t>Текущая выручка / оборот в месяц (₽)</t>
  </si>
  <si>
    <t>Выручка вашего подразделения или компании в месяц</t>
  </si>
  <si>
    <t>Снижение потерь от ошибок (%)</t>
  </si>
  <si>
    <t>Ошибки ручного ввода, неверные решения, просроченные задачи</t>
  </si>
  <si>
    <t>Стоимость ошибок сейчас (₽/мес)</t>
  </si>
  <si>
    <t>Штрафы, переделки, компенсации, упущенные сделки</t>
  </si>
  <si>
    <t>💰 Скрытая прибыль в месяц (итого)</t>
  </si>
  <si>
    <t>Рост выручки + снижение потерь</t>
  </si>
  <si>
    <t>Скрытая прибыль в год</t>
  </si>
  <si>
    <t>ИТОГОВЫЙ ЭФФЕКТ</t>
  </si>
  <si>
    <t>Совокупный эффект в месяц</t>
  </si>
  <si>
    <t>Hard + Soft Benefits</t>
  </si>
  <si>
    <t>Совокупный эффект в год</t>
  </si>
  <si>
    <t>OpEx в месяц (из бюджета)</t>
  </si>
  <si>
    <t>Ежемесячные расходы на систему — из листа 2</t>
  </si>
  <si>
    <t>Чистый эффект в месяц</t>
  </si>
  <si>
    <t>Эффект минус расходы на поддержку</t>
  </si>
  <si>
    <t>КЛЮЧЕВЫЕ МЕТРИКИ ПРОЕКТА</t>
  </si>
  <si>
    <t>ROI первого года (%)</t>
  </si>
  <si>
    <t>Точка безубыточности (месяцев)</t>
  </si>
  <si>
    <t>NPV — чистая приведённая стоимость за 3 года</t>
  </si>
  <si>
    <t>Ставка дисконтирования (r)</t>
  </si>
  <si>
    <t>Обычно: ключевая ставка + 2–3%. В 2026 году — около 12–15%</t>
  </si>
  <si>
    <t>Чистый эффект Год 1 (в сегод. ₽)</t>
  </si>
  <si>
    <t>Год 1 дисконтируем на (1+r)¹</t>
  </si>
  <si>
    <t>Чистый эффект Год 2 (в сегод. ₽)</t>
  </si>
  <si>
    <t>Год 2: +10% (модель дообучилась)</t>
  </si>
  <si>
    <t>Чистый эффект Год 3 (в сегод. ₽)</t>
  </si>
  <si>
    <t>Год 3: стабильный уровень</t>
  </si>
  <si>
    <t>✅ NPV проекта за 3 года</t>
  </si>
  <si>
    <t>➡  Перейдите на лист «4. Стресс-тест» — что будет, если что-то пойдёт не так?</t>
  </si>
  <si>
    <t>⚠️  СТРЕСС-ТЕСТ — Что будет, если что-то пойдёт не так?</t>
  </si>
  <si>
    <t>Измените коэффициенты (синие ячейки) и посмотрите, как меняется экономика проекта</t>
  </si>
  <si>
    <t>БАЗОВЫЕ ПОКАЗАТЕЛИ (из ваших расчётов)</t>
  </si>
  <si>
    <t>CapEx (стартовые инвестиции)</t>
  </si>
  <si>
    <t>← из ваших расчётов</t>
  </si>
  <si>
    <t>OpEx в месяц (базовый)</t>
  </si>
  <si>
    <t>Эффект в месяц (базовый)</t>
  </si>
  <si>
    <t>Точка безубыточности (базовая)</t>
  </si>
  <si>
    <t>ROI первого года (базовый)</t>
  </si>
  <si>
    <t>СЦЕНАРИИ — измените коэффициенты и пересчитайте</t>
  </si>
  <si>
    <t>Коэффициент удорожания / снижения</t>
  </si>
  <si>
    <t>Значение</t>
  </si>
  <si>
    <t>Что означает</t>
  </si>
  <si>
    <t>Интеграция обошлась в X раз дороже плана</t>
  </si>
  <si>
    <t>2.0 = в два раза дороже, 3.0 = в три раза дороже</t>
  </si>
  <si>
    <t>Model Drift: эффект снизился до X% от плана</t>
  </si>
  <si>
    <t>0.7 = эффект упал до 70%. 1.0 = без изменений</t>
  </si>
  <si>
    <t>Токены стоят в X раз дороже прогноза</t>
  </si>
  <si>
    <t>1.5 = в полтора раза дороже. Влияет на OpEx</t>
  </si>
  <si>
    <t>Задержка запуска (добавить месяцев к CapEx)</t>
  </si>
  <si>
    <t>Дополнительные месяцы, пока система не работает</t>
  </si>
  <si>
    <t>ПЕРЕСЧЁТ С УЧЁТОМ СТРЕСС-СЦЕНАРИЯ</t>
  </si>
  <si>
    <t>CapEx в стресс-сценарии</t>
  </si>
  <si>
    <t>Интеграция × ваш коэффициент удорожания</t>
  </si>
  <si>
    <t>OpEx в стресс-сценарии (мес)</t>
  </si>
  <si>
    <t>Токены × коэффициент удорожания + остальные статьи</t>
  </si>
  <si>
    <t>Эффект в стресс-сценарии (мес)</t>
  </si>
  <si>
    <t>Базовый эффект × коэффициент снижения (Model Drift)</t>
  </si>
  <si>
    <t>Чистый эффект в стресс-сценарии (мес)</t>
  </si>
  <si>
    <t>🔴 Точка безубыточности (стресс)</t>
  </si>
  <si>
    <t>🔴 ROI первого года (стресс)</t>
  </si>
  <si>
    <t>💬 ВОПРОС ДЛЯ ОБСУЖДЕНИЯ В ГРУППЕ:</t>
  </si>
  <si>
    <r>
      <t>При каком сочетании коэффициентов (интеграция × N, эффект × M) ваш проект перестаёт окупаться за 18 месяцев?</t>
    </r>
    <r>
      <t xml:space="preserve">
</t>
    </r>
    <r>
      <t>Запишите ответ ниже и будьте готовы объяснить это руководителю.</t>
    </r>
  </si>
  <si>
    <t>Ваш ответ:</t>
  </si>
  <si>
    <t>✅  Готово! Ваш расчёт завершён. Теперь подготовьте питч на 3 минуты: Проблема → Решение → Цифры</t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</si>
</sst>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  <numFmt co:extendedFormatCode="#,##0" formatCode="#,##0" numFmtId="1001"/>
    <numFmt co:extendedFormatCode="0.0" formatCode="0.0" numFmtId="1002"/>
    <numFmt co:extendedFormatCode="#,##0&quot; ₽&quot;" formatCode="#,##0&quot; ₽&quot;" numFmtId="1003"/>
    <numFmt co:extendedFormatCode="0.0%" formatCode="0.0%" numFmtId="1004"/>
    <numFmt co:extendedFormatCode="0.0&quot; ч/мес&quot;" formatCode="0.0&quot; ч/мес&quot;" numFmtId="1005"/>
    <numFmt co:extendedFormatCode="0.00&quot; FTE&quot;" formatCode="0.00&quot; FTE&quot;" numFmtId="1006"/>
    <numFmt co:extendedFormatCode="#,##0&quot; ₽/мес&quot;" formatCode="#,##0&quot; ₽/мес&quot;" numFmtId="1007"/>
    <numFmt co:extendedFormatCode="0.0&quot; мес&quot;" formatCode="0.0&quot; мес&quot;" numFmtId="1008"/>
  </numFmts>
  <fonts count="19">
    <font>
      <name val="Calibri"/>
      <color theme="1" tint="0"/>
      <sz val="11"/>
    </font>
    <font>
      <name val="Arial"/>
      <b val="true"/>
      <color rgb="FAF6EF" tint="0"/>
      <sz val="15"/>
    </font>
    <font>
      <name val="Arial"/>
      <i val="true"/>
      <color rgb="6A6156" tint="0"/>
      <sz val="9"/>
    </font>
    <font>
      <name val="Arial"/>
      <b val="true"/>
      <color rgb="FFFFFF" tint="0"/>
      <sz val="11"/>
    </font>
    <font>
      <name val="Arial"/>
      <b val="true"/>
      <color rgb="2B2722" tint="0"/>
      <sz val="10"/>
    </font>
    <font>
      <name val="Arial"/>
      <color rgb="00008B" tint="0"/>
      <sz val="11"/>
    </font>
    <font>
      <name val="Arial"/>
      <color rgb="000000" tint="0"/>
      <sz val="11"/>
    </font>
    <font>
      <name val="Arial"/>
      <b val="true"/>
      <color rgb="1B5E20" tint="0"/>
      <sz val="12"/>
    </font>
    <font>
      <name val="Arial"/>
      <b val="true"/>
      <color rgb="C2622E" tint="0"/>
      <sz val="10"/>
    </font>
    <font>
      <name val="Arial"/>
      <b val="true"/>
      <color rgb="FAF6EF" tint="0"/>
      <sz val="14"/>
    </font>
    <font>
      <name val="Arial"/>
      <b val="true"/>
      <color rgb="C2622E" tint="0"/>
      <sz val="12"/>
    </font>
    <font>
      <name val="Arial"/>
      <b val="true"/>
      <i val="true"/>
      <color rgb="C2622E" tint="0"/>
      <sz val="9"/>
    </font>
    <font>
      <name val="Arial"/>
      <b val="true"/>
      <color rgb="000000" tint="0"/>
      <sz val="11"/>
    </font>
    <font>
      <name val="Arial"/>
      <b val="true"/>
      <sz val="10"/>
    </font>
    <font>
      <name val="Arial"/>
      <b val="true"/>
      <color rgb="000000" tint="0"/>
      <sz val="13"/>
    </font>
    <font>
      <name val="Arial"/>
      <b val="true"/>
      <color rgb="1B5E20" tint="0"/>
      <sz val="14"/>
    </font>
    <font>
      <name val="Arial"/>
      <b val="true"/>
      <color rgb="B71C1C" tint="0"/>
      <sz val="13"/>
    </font>
    <font>
      <name val="Arial"/>
      <b val="true"/>
      <color rgb="3B5E8C" tint="0"/>
      <sz val="11"/>
    </font>
    <font>
      <name val="Arial"/>
      <color rgb="2B2722" tint="0"/>
      <sz val="10"/>
    </font>
  </fonts>
  <fills count="13">
    <fill>
      <patternFill patternType="none"/>
    </fill>
    <fill>
      <patternFill patternType="gray125"/>
    </fill>
    <fill>
      <patternFill patternType="solid">
        <fgColor rgb="2B2722" tint="0"/>
      </patternFill>
    </fill>
    <fill>
      <patternFill patternType="solid">
        <fgColor rgb="FAF6EF" tint="0"/>
      </patternFill>
    </fill>
    <fill>
      <patternFill patternType="solid">
        <fgColor rgb="C2622E" tint="0"/>
      </patternFill>
    </fill>
    <fill>
      <patternFill patternType="solid">
        <fgColor rgb="F2EBDD" tint="0"/>
      </patternFill>
    </fill>
    <fill>
      <patternFill patternType="solid">
        <fgColor rgb="FFF8E1" tint="0"/>
      </patternFill>
    </fill>
    <fill>
      <patternFill patternType="solid">
        <fgColor rgb="FFFFFF" tint="0"/>
      </patternFill>
    </fill>
    <fill>
      <patternFill patternType="solid">
        <fgColor rgb="E8F5E9" tint="0"/>
      </patternFill>
    </fill>
    <fill>
      <patternFill patternType="solid">
        <fgColor rgb="FFF3E0" tint="0"/>
      </patternFill>
    </fill>
    <fill>
      <patternFill patternType="solid">
        <fgColor rgb="FFEBEE" tint="0"/>
      </patternFill>
    </fill>
    <fill>
      <patternFill patternType="solid">
        <fgColor rgb="EEF3F9" tint="0"/>
      </patternFill>
    </fill>
    <fill>
      <patternFill patternType="solid">
        <fgColor rgb="3E7C74" tint="0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rgb="E5DCCB" tint="0"/>
      </left>
      <right style="thin">
        <color rgb="E5DCCB" tint="0"/>
      </right>
      <top style="thin">
        <color rgb="E5DCCB" tint="0"/>
      </top>
      <bottom style="thin">
        <color rgb="E5DCCB" tint="0"/>
      </bottom>
    </border>
    <border>
      <right style="thin">
        <color rgb="E5DCCB" tint="0"/>
      </right>
      <top style="thin">
        <color rgb="E5DCCB" tint="0"/>
      </top>
      <bottom style="thin">
        <color rgb="E5DCCB" tint="0"/>
      </bottom>
    </border>
    <border>
      <left style="medium">
        <color rgb="C2622E" tint="0"/>
      </left>
      <right style="medium">
        <color rgb="C2622E" tint="0"/>
      </right>
      <top style="medium">
        <color rgb="C2622E" tint="0"/>
      </top>
      <bottom style="medium">
        <color rgb="C2622E" tint="0"/>
      </bottom>
    </border>
    <border>
      <top style="medium">
        <color rgb="C2622E" tint="0"/>
      </top>
      <bottom style="medium">
        <color rgb="C2622E" tint="0"/>
      </bottom>
    </border>
    <border>
      <right style="medium">
        <color rgb="C2622E" tint="0"/>
      </right>
      <top style="medium">
        <color rgb="C2622E" tint="0"/>
      </top>
      <bottom style="medium">
        <color rgb="C2622E" tint="0"/>
      </bottom>
    </border>
  </borders>
  <cellStyleXfs count="1">
    <xf applyFont="true" applyNumberFormat="true" borderId="0" fillId="0" fontId="0" numFmtId="1000" quotePrefix="false"/>
  </cellStyleXfs>
  <cellXfs count="54">
    <xf applyFont="true" applyNumberFormat="true" borderId="0" fillId="0" fontId="0" numFmtId="1000" quotePrefix="false"/>
    <xf applyAlignment="true" applyFill="true" applyFont="true" applyNumberFormat="true" borderId="0" fillId="2" fontId="1" numFmtId="1000" quotePrefix="false">
      <alignment horizontal="left" vertical="center"/>
    </xf>
    <xf applyFill="true" applyFont="true" applyNumberFormat="true" borderId="0" fillId="3" fontId="2" numFmtId="1000" quotePrefix="false"/>
    <xf applyAlignment="true" applyFill="true" applyFont="true" applyNumberFormat="true" borderId="0" fillId="4" fontId="3" numFmtId="1000" quotePrefix="false">
      <alignment horizontal="left" vertical="center"/>
    </xf>
    <xf applyAlignment="true" applyBorder="true" applyFill="true" applyFont="true" applyNumberFormat="true" borderId="1" fillId="5" fontId="4" numFmtId="1000" quotePrefix="false">
      <alignment horizontal="left" vertical="center" wrapText="true"/>
    </xf>
    <xf applyAlignment="true" applyBorder="true" applyFill="true" applyFont="true" applyNumberFormat="true" borderId="1" fillId="6" fontId="5" numFmtId="1000" quotePrefix="false">
      <alignment horizontal="center" vertical="center"/>
    </xf>
    <xf applyAlignment="true" applyBorder="true" applyFill="true" applyFont="true" applyNumberFormat="true" borderId="2" fillId="6" fontId="5" numFmtId="1000" quotePrefix="false">
      <alignment horizontal="center" vertical="center"/>
    </xf>
    <xf applyAlignment="true" applyFill="true" applyFont="true" applyNumberFormat="true" borderId="0" fillId="3" fontId="2" numFmtId="1000" quotePrefix="false">
      <alignment horizontal="left" vertical="center" wrapText="true"/>
    </xf>
    <xf applyAlignment="true" applyBorder="true" applyFill="true" applyFont="true" applyNumberFormat="true" borderId="1" fillId="6" fontId="5" numFmtId="1001" quotePrefix="false">
      <alignment horizontal="center" vertical="center"/>
    </xf>
    <xf applyAlignment="true" applyBorder="true" applyFill="true" applyFont="true" applyNumberFormat="true" borderId="2" fillId="6" fontId="5" numFmtId="1001" quotePrefix="false">
      <alignment horizontal="center" vertical="center"/>
    </xf>
    <xf applyAlignment="true" applyBorder="true" applyFill="true" applyFont="true" applyNumberFormat="true" borderId="1" fillId="6" fontId="5" numFmtId="1002" quotePrefix="false">
      <alignment horizontal="center" vertical="center"/>
    </xf>
    <xf applyAlignment="true" applyBorder="true" applyFill="true" applyFont="true" applyNumberFormat="true" borderId="2" fillId="6" fontId="5" numFmtId="1002" quotePrefix="false">
      <alignment horizontal="center" vertical="center"/>
    </xf>
    <xf applyAlignment="true" applyBorder="true" applyFill="true" applyFont="true" applyNumberFormat="true" borderId="1" fillId="6" fontId="5" numFmtId="1003" quotePrefix="false">
      <alignment horizontal="center" vertical="center"/>
    </xf>
    <xf applyAlignment="true" applyBorder="true" applyFill="true" applyFont="true" applyNumberFormat="true" borderId="2" fillId="6" fontId="5" numFmtId="1003" quotePrefix="false">
      <alignment horizontal="center" vertical="center"/>
    </xf>
    <xf applyAlignment="true" applyBorder="true" applyFill="true" applyFont="true" applyNumberFormat="true" borderId="1" fillId="6" fontId="5" numFmtId="1004" quotePrefix="false">
      <alignment horizontal="center" vertical="center"/>
    </xf>
    <xf applyAlignment="true" applyBorder="true" applyFill="true" applyFont="true" applyNumberFormat="true" borderId="2" fillId="6" fontId="5" numFmtId="1004" quotePrefix="false">
      <alignment horizontal="center" vertical="center"/>
    </xf>
    <xf applyAlignment="true" applyBorder="true" applyFill="true" applyFont="true" applyNumberFormat="true" borderId="1" fillId="7" fontId="6" numFmtId="1005" quotePrefix="false">
      <alignment horizontal="center" vertical="center"/>
    </xf>
    <xf applyAlignment="true" applyBorder="true" applyFill="true" applyFont="true" applyNumberFormat="true" borderId="2" fillId="7" fontId="6" numFmtId="1005" quotePrefix="false">
      <alignment horizontal="center" vertical="center"/>
    </xf>
    <xf applyAlignment="true" applyFill="true" applyFont="true" applyNumberFormat="true" borderId="0" fillId="3" fontId="2" numFmtId="1000" quotePrefix="false">
      <alignment horizontal="left" vertical="center"/>
    </xf>
    <xf applyAlignment="true" applyBorder="true" applyFill="true" applyFont="true" applyNumberFormat="true" borderId="1" fillId="7" fontId="6" numFmtId="1006" quotePrefix="false">
      <alignment horizontal="center" vertical="center"/>
    </xf>
    <xf applyAlignment="true" applyBorder="true" applyFill="true" applyFont="true" applyNumberFormat="true" borderId="2" fillId="7" fontId="6" numFmtId="1006" quotePrefix="false">
      <alignment horizontal="center" vertical="center"/>
    </xf>
    <xf applyAlignment="true" applyBorder="true" applyFill="true" applyFont="true" applyNumberFormat="true" borderId="1" fillId="7" fontId="6" numFmtId="1003" quotePrefix="false">
      <alignment horizontal="center" vertical="center"/>
    </xf>
    <xf applyAlignment="true" applyBorder="true" applyFill="true" applyFont="true" applyNumberFormat="true" borderId="2" fillId="7" fontId="6" numFmtId="1003" quotePrefix="false">
      <alignment horizontal="center" vertical="center"/>
    </xf>
    <xf applyAlignment="true" applyBorder="true" applyFill="true" applyFont="true" applyNumberFormat="true" borderId="1" fillId="8" fontId="7" numFmtId="1007" quotePrefix="false">
      <alignment horizontal="center" vertical="center"/>
    </xf>
    <xf applyAlignment="true" applyBorder="true" applyFill="true" applyFont="true" applyNumberFormat="true" borderId="2" fillId="8" fontId="7" numFmtId="1007" quotePrefix="false">
      <alignment horizontal="center" vertical="center"/>
    </xf>
    <xf applyAlignment="true" applyFont="true" applyNumberFormat="true" borderId="0" fillId="0" fontId="8" numFmtId="1000" quotePrefix="false">
      <alignment horizontal="center" vertical="center"/>
    </xf>
    <xf applyAlignment="true" applyFill="true" applyFont="true" applyNumberFormat="true" borderId="0" fillId="2" fontId="9" numFmtId="1000" quotePrefix="false">
      <alignment horizontal="left" vertical="center"/>
    </xf>
    <xf applyAlignment="true" applyBorder="true" applyFill="true" applyFont="true" applyNumberFormat="true" borderId="1" fillId="9" fontId="10" numFmtId="1003" quotePrefix="false">
      <alignment horizontal="center" vertical="center"/>
    </xf>
    <xf applyFont="true" applyNumberFormat="true" borderId="0" fillId="0" fontId="11" numFmtId="1000" quotePrefix="false"/>
    <xf applyAlignment="true" applyBorder="true" applyFill="true" applyFont="true" applyNumberFormat="true" borderId="1" fillId="6" fontId="5" numFmtId="1007" quotePrefix="false">
      <alignment horizontal="center" vertical="center"/>
    </xf>
    <xf applyAlignment="true" applyBorder="true" applyFill="true" applyFont="true" applyNumberFormat="true" borderId="1" fillId="9" fontId="10" numFmtId="1007" quotePrefix="false">
      <alignment horizontal="center" vertical="center"/>
    </xf>
    <xf applyAlignment="true" applyBorder="true" applyFill="true" applyFont="true" applyNumberFormat="true" borderId="1" fillId="7" fontId="12" numFmtId="1003" quotePrefix="false">
      <alignment horizontal="center" vertical="center"/>
    </xf>
    <xf applyAlignment="true" applyBorder="true" applyFill="true" applyFont="true" applyNumberFormat="true" borderId="1" fillId="7" fontId="12" numFmtId="1007" quotePrefix="false">
      <alignment horizontal="center" vertical="center"/>
    </xf>
    <xf applyFont="true" applyNumberFormat="true" borderId="0" fillId="0" fontId="8" numFmtId="1000" quotePrefix="false"/>
    <xf applyAlignment="true" applyBorder="true" applyFill="true" applyFont="true" applyNumberFormat="true" borderId="1" fillId="7" fontId="6" numFmtId="1004" quotePrefix="false">
      <alignment horizontal="center" vertical="center"/>
    </xf>
    <xf applyAlignment="true" applyFill="true" applyFont="true" applyNumberFormat="true" borderId="0" fillId="3" fontId="13" numFmtId="1000" quotePrefix="false">
      <alignment horizontal="left" vertical="center"/>
    </xf>
    <xf applyAlignment="true" applyBorder="true" applyFill="true" applyFont="true" applyNumberFormat="true" borderId="1" fillId="7" fontId="6" numFmtId="1007" quotePrefix="false">
      <alignment horizontal="center" vertical="center"/>
    </xf>
    <xf applyAlignment="true" applyBorder="true" applyFill="true" applyFont="true" applyNumberFormat="true" borderId="1" fillId="7" fontId="14" numFmtId="1004" quotePrefix="false">
      <alignment horizontal="center" vertical="center"/>
    </xf>
    <xf applyAlignment="true" applyBorder="true" applyFill="true" applyFont="true" applyNumberFormat="true" borderId="1" fillId="7" fontId="14" numFmtId="1008" quotePrefix="false">
      <alignment horizontal="center" vertical="center"/>
    </xf>
    <xf applyAlignment="true" applyBorder="true" applyFill="true" applyFont="true" applyNumberFormat="true" borderId="1" fillId="8" fontId="15" numFmtId="1003" quotePrefix="false">
      <alignment horizontal="center" vertical="center"/>
    </xf>
    <xf applyAlignment="true" applyFill="true" applyFont="true" applyNumberFormat="true" borderId="0" fillId="3" fontId="13" numFmtId="1000" quotePrefix="false">
      <alignment horizontal="left" vertical="center" wrapText="true"/>
    </xf>
    <xf applyFont="true" applyNumberFormat="true" borderId="0" fillId="0" fontId="2" numFmtId="1000" quotePrefix="false"/>
    <xf applyAlignment="true" applyBorder="true" applyFill="true" applyFont="true" applyNumberFormat="true" borderId="1" fillId="7" fontId="12" numFmtId="1008" quotePrefix="false">
      <alignment horizontal="center" vertical="center"/>
    </xf>
    <xf applyAlignment="true" applyBorder="true" applyFill="true" applyFont="true" applyNumberFormat="true" borderId="1" fillId="7" fontId="12" numFmtId="1004" quotePrefix="false">
      <alignment horizontal="center" vertical="center"/>
    </xf>
    <xf applyFill="true" applyFont="true" applyNumberFormat="true" borderId="0" fillId="5" fontId="4" numFmtId="1000" quotePrefix="false"/>
    <xf applyFill="true" applyFont="true" applyNumberFormat="true" borderId="0" fillId="5" fontId="13" numFmtId="1000" quotePrefix="false"/>
    <xf applyAlignment="true" applyBorder="true" applyFill="true" applyFont="true" applyNumberFormat="true" borderId="1" fillId="10" fontId="16" numFmtId="1008" quotePrefix="false">
      <alignment horizontal="center" vertical="center"/>
    </xf>
    <xf applyAlignment="true" applyBorder="true" applyFill="true" applyFont="true" applyNumberFormat="true" borderId="1" fillId="10" fontId="16" numFmtId="1004" quotePrefix="false">
      <alignment horizontal="center" vertical="center"/>
    </xf>
    <xf applyFont="true" applyNumberFormat="true" borderId="0" fillId="0" fontId="17" numFmtId="1000" quotePrefix="false"/>
    <xf applyAlignment="true" applyFill="true" applyFont="true" applyNumberFormat="true" borderId="0" fillId="11" fontId="18" numFmtId="1000" quotePrefix="false">
      <alignment horizontal="left" vertical="center" wrapText="true"/>
    </xf>
    <xf applyBorder="true" applyFill="true" applyFont="true" applyNumberFormat="true" borderId="3" fillId="6" fontId="4" numFmtId="1000" quotePrefix="false"/>
    <xf applyBorder="true" applyFill="true" applyFont="true" applyNumberFormat="true" borderId="4" fillId="6" fontId="4" numFmtId="1000" quotePrefix="false"/>
    <xf applyBorder="true" applyFill="true" applyFont="true" applyNumberFormat="true" borderId="5" fillId="6" fontId="4" numFmtId="1000" quotePrefix="false"/>
    <xf applyAlignment="true" applyFill="true" applyFont="true" applyNumberFormat="true" borderId="0" fillId="12" fontId="3" numFmtId="1000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7" Target="theme/theme1.xml" Type="http://schemas.openxmlformats.org/officeDocument/2006/relationships/theme"/>
  <Relationship Id="rId6" Target="styles.xml" Type="http://schemas.openxmlformats.org/officeDocument/2006/relationships/styles"/>
  <Relationship Id="rId5" Target="sharedStrings.xml" Type="http://schemas.openxmlformats.org/officeDocument/2006/relationships/sharedStrings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F26"/>
  <sheetViews>
    <sheetView showZeros="true" workbookViewId="0"/>
  </sheetViews>
  <sheetFormatPr baseColWidth="8" customHeight="false" defaultColWidth="8.66406252246738" defaultRowHeight="14.3999996185303" zeroHeight="false"/>
  <cols>
    <col customWidth="true" max="1" min="1" outlineLevel="0" width="32"/>
    <col customWidth="true" max="2" min="2" outlineLevel="0" width="27.9999993233353"/>
    <col customWidth="true" max="3" min="3" outlineLevel="0" width="21.9999996616676"/>
    <col customWidth="true" max="5" min="4" outlineLevel="0" width="18.0000003383324"/>
    <col customWidth="true" max="6" min="6" outlineLevel="0" width="21.9999996616676"/>
  </cols>
  <sheetData>
    <row customHeight="true" ht="39.75" outlineLevel="0" r="1">
      <c r="A1" s="1" t="s">
        <v>0</v>
      </c>
      <c r="B1" s="1" t="s"/>
      <c r="C1" s="1" t="s"/>
      <c r="D1" s="1" t="s"/>
      <c r="E1" s="1" t="s"/>
      <c r="F1" s="1" t="s"/>
    </row>
    <row customHeight="true" ht="19.5" outlineLevel="0" r="2">
      <c r="A2" s="2" t="s">
        <v>1</v>
      </c>
      <c r="B2" s="2" t="s"/>
      <c r="C2" s="2" t="s"/>
      <c r="D2" s="2" t="s"/>
      <c r="E2" s="2" t="s"/>
      <c r="F2" s="2" t="s"/>
    </row>
    <row customHeight="true" ht="21.75" outlineLevel="0" r="4">
      <c r="A4" s="3" t="s">
        <v>2</v>
      </c>
      <c r="B4" s="3" t="s"/>
      <c r="C4" s="3" t="s"/>
      <c r="D4" s="3" t="s"/>
      <c r="E4" s="3" t="s"/>
      <c r="F4" s="3" t="s"/>
    </row>
    <row customHeight="true" ht="21.75" outlineLevel="0" r="5">
      <c r="A5" s="4" t="s">
        <v>3</v>
      </c>
      <c r="B5" s="5" t="s">
        <v>4</v>
      </c>
      <c r="C5" s="6" t="s"/>
      <c r="D5" s="7" t="s">
        <v>5</v>
      </c>
      <c r="E5" s="7" t="s"/>
      <c r="F5" s="7" t="s"/>
    </row>
    <row outlineLevel="0" r="6">
      <c r="A6" s="0" t="s">
        <v>6</v>
      </c>
    </row>
    <row customHeight="true" ht="15" outlineLevel="0" r="7">
      <c r="A7" s="3" t="s">
        <v>7</v>
      </c>
      <c r="B7" s="3" t="s"/>
      <c r="C7" s="3" t="s"/>
      <c r="D7" s="3" t="s"/>
      <c r="E7" s="3" t="s"/>
      <c r="F7" s="3" t="s"/>
    </row>
    <row customHeight="true" hidden="false" ht="59.8500213623047" outlineLevel="0" r="8">
      <c r="A8" s="4" t="s">
        <v>8</v>
      </c>
      <c r="B8" s="5" t="s">
        <v>9</v>
      </c>
      <c r="C8" s="6" t="s"/>
      <c r="D8" s="7" t="s">
        <v>10</v>
      </c>
      <c r="E8" s="7" t="s"/>
      <c r="F8" s="7" t="s"/>
    </row>
    <row customHeight="true" hidden="false" ht="40.8000030517578" outlineLevel="0" r="9">
      <c r="A9" s="4" t="s">
        <v>11</v>
      </c>
      <c r="B9" s="5" t="s">
        <v>12</v>
      </c>
      <c r="C9" s="6" t="s"/>
      <c r="D9" s="7" t="s">
        <v>13</v>
      </c>
      <c r="E9" s="7" t="s"/>
      <c r="F9" s="7" t="s"/>
    </row>
    <row customHeight="true" hidden="false" ht="43.7999877929688" outlineLevel="0" r="10">
      <c r="A10" s="4" t="s">
        <v>14</v>
      </c>
      <c r="B10" s="5" t="s">
        <v>15</v>
      </c>
      <c r="C10" s="6" t="s"/>
      <c r="D10" s="7" t="s">
        <v>16</v>
      </c>
      <c r="E10" s="7" t="s"/>
      <c r="F10" s="7" t="s"/>
    </row>
    <row customHeight="true" ht="30" outlineLevel="0" r="11">
      <c r="A11" s="4" t="s">
        <v>17</v>
      </c>
      <c r="B11" s="5" t="s">
        <v>18</v>
      </c>
      <c r="C11" s="6" t="s"/>
      <c r="D11" s="7" t="s">
        <v>19</v>
      </c>
      <c r="E11" s="7" t="s"/>
      <c r="F11" s="7" t="s"/>
    </row>
    <row customHeight="true" ht="15" outlineLevel="0" r="13">
      <c r="A13" s="3" t="s">
        <v>20</v>
      </c>
      <c r="B13" s="3" t="s"/>
      <c r="C13" s="3" t="s"/>
      <c r="D13" s="3" t="s"/>
      <c r="E13" s="3" t="s"/>
      <c r="F13" s="3" t="s"/>
    </row>
    <row customHeight="true" ht="27.75" outlineLevel="0" r="14">
      <c r="A14" s="4" t="s">
        <v>21</v>
      </c>
      <c r="B14" s="8" t="n">
        <v>4</v>
      </c>
      <c r="C14" s="9" t="s"/>
      <c r="D14" s="7" t="s">
        <v>22</v>
      </c>
      <c r="E14" s="7" t="s"/>
      <c r="F14" s="7" t="s"/>
    </row>
    <row customHeight="true" ht="27.75" outlineLevel="0" r="15">
      <c r="A15" s="4" t="s">
        <v>23</v>
      </c>
      <c r="B15" s="10" t="n">
        <v>2</v>
      </c>
      <c r="C15" s="11" t="s"/>
      <c r="D15" s="7" t="s">
        <v>24</v>
      </c>
      <c r="E15" s="7" t="s"/>
      <c r="F15" s="7" t="s"/>
    </row>
    <row customHeight="true" ht="27.75" outlineLevel="0" r="16">
      <c r="A16" s="4" t="s">
        <v>25</v>
      </c>
      <c r="B16" s="8" t="n">
        <v>22</v>
      </c>
      <c r="C16" s="9" t="s"/>
      <c r="D16" s="7" t="s">
        <v>26</v>
      </c>
      <c r="E16" s="7" t="s"/>
      <c r="F16" s="7" t="s"/>
    </row>
    <row customHeight="true" ht="27.75" outlineLevel="0" r="17">
      <c r="A17" s="4" t="s">
        <v>27</v>
      </c>
      <c r="B17" s="12" t="n">
        <v>350000</v>
      </c>
      <c r="C17" s="13" t="s"/>
      <c r="D17" s="7" t="s">
        <v>28</v>
      </c>
      <c r="E17" s="7" t="s"/>
      <c r="F17" s="7" t="s"/>
    </row>
    <row customHeight="true" ht="27.75" outlineLevel="0" r="18">
      <c r="A18" s="4" t="s">
        <v>29</v>
      </c>
      <c r="B18" s="14" t="n">
        <v>0.7</v>
      </c>
      <c r="C18" s="15" t="s"/>
      <c r="D18" s="7" t="s">
        <v>30</v>
      </c>
      <c r="E18" s="7" t="s"/>
      <c r="F18" s="7" t="s"/>
    </row>
    <row customHeight="true" ht="15" outlineLevel="0" r="20">
      <c r="A20" s="3" t="s">
        <v>31</v>
      </c>
      <c r="B20" s="3" t="s"/>
      <c r="C20" s="3" t="s"/>
      <c r="D20" s="3" t="s"/>
      <c r="E20" s="3" t="s"/>
      <c r="F20" s="3" t="s"/>
    </row>
    <row customHeight="true" ht="25.5" outlineLevel="0" r="21">
      <c r="A21" s="4" t="s">
        <v>32</v>
      </c>
      <c r="B21" s="16" t="n">
        <f aca="false" ca="false" dt2D="false" dtr="false" t="normal">B14*B15*B16</f>
        <v>176</v>
      </c>
      <c r="C21" s="17" t="s"/>
      <c r="D21" s="18" t="s">
        <v>33</v>
      </c>
      <c r="E21" s="18" t="s"/>
      <c r="F21" s="18" t="s"/>
    </row>
    <row customHeight="true" ht="25.5" outlineLevel="0" r="22">
      <c r="A22" s="4" t="s">
        <v>34</v>
      </c>
      <c r="B22" s="19" t="n">
        <f aca="false" ca="false" dt2D="false" dtr="false" t="normal">B14*B15*B16*B18/(8*B16)</f>
        <v>0.7</v>
      </c>
      <c r="C22" s="20" t="s"/>
      <c r="D22" s="18" t="s">
        <v>35</v>
      </c>
      <c r="E22" s="18" t="s"/>
      <c r="F22" s="18" t="s"/>
    </row>
    <row customHeight="true" ht="25.5" outlineLevel="0" r="23">
      <c r="A23" s="4" t="s">
        <v>36</v>
      </c>
      <c r="B23" s="21" t="n">
        <f aca="false" ca="false" dt2D="false" dtr="false" t="normal">B17*1.3*1.4</f>
        <v>637000</v>
      </c>
      <c r="C23" s="22" t="s"/>
      <c r="D23" s="7" t="s">
        <v>37</v>
      </c>
      <c r="E23" s="7" t="s"/>
      <c r="F23" s="7" t="s"/>
    </row>
    <row customHeight="true" ht="30" outlineLevel="0" r="24">
      <c r="A24" s="4" t="s">
        <v>38</v>
      </c>
      <c r="B24" s="23" t="n">
        <f aca="false" ca="false" dt2D="false" dtr="false" t="normal">B22*B23</f>
        <v>445900</v>
      </c>
      <c r="C24" s="24" t="s"/>
      <c r="D24" s="7" t="s">
        <v>39</v>
      </c>
      <c r="E24" s="7" t="s"/>
      <c r="F24" s="7" t="s"/>
    </row>
    <row customHeight="true" ht="18" outlineLevel="0" r="26">
      <c r="A26" s="25" t="s">
        <v>40</v>
      </c>
      <c r="B26" s="25" t="s"/>
      <c r="C26" s="25" t="s"/>
      <c r="D26" s="25" t="s"/>
      <c r="E26" s="25" t="s"/>
      <c r="F26" s="25" t="s"/>
    </row>
  </sheetData>
  <mergeCells count="35">
    <mergeCell ref="A26:F26"/>
    <mergeCell ref="D24:F24"/>
    <mergeCell ref="B24:C24"/>
    <mergeCell ref="B23:C23"/>
    <mergeCell ref="D23:F23"/>
    <mergeCell ref="D22:F22"/>
    <mergeCell ref="B22:C22"/>
    <mergeCell ref="D21:F21"/>
    <mergeCell ref="B21:C21"/>
    <mergeCell ref="A20:F20"/>
    <mergeCell ref="B18:C18"/>
    <mergeCell ref="D18:F18"/>
    <mergeCell ref="B17:C17"/>
    <mergeCell ref="D17:F17"/>
    <mergeCell ref="B16:C16"/>
    <mergeCell ref="D16:F16"/>
    <mergeCell ref="B15:C15"/>
    <mergeCell ref="D15:F15"/>
    <mergeCell ref="D14:F14"/>
    <mergeCell ref="B14:C14"/>
    <mergeCell ref="A13:F13"/>
    <mergeCell ref="B11:C11"/>
    <mergeCell ref="D10:F10"/>
    <mergeCell ref="D11:F11"/>
    <mergeCell ref="B10:C10"/>
    <mergeCell ref="A1:F1"/>
    <mergeCell ref="A2:F2"/>
    <mergeCell ref="A4:F4"/>
    <mergeCell ref="D5:F5"/>
    <mergeCell ref="A7:F7"/>
    <mergeCell ref="D8:F8"/>
    <mergeCell ref="D9:F9"/>
    <mergeCell ref="B5:C5"/>
    <mergeCell ref="B8:C8"/>
    <mergeCell ref="B9:C9"/>
  </mergeCells>
  <pageMargins bottom="1" footer="0.511811017990112" header="0.511811017990112" left="0.75" right="0.75" top="1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D29"/>
  <sheetViews>
    <sheetView showZeros="true" workbookViewId="0"/>
  </sheetViews>
  <sheetFormatPr baseColWidth="8" customHeight="false" defaultColWidth="8.66406252246738" defaultRowHeight="14.3999996185303" zeroHeight="false"/>
  <cols>
    <col customWidth="true" max="1" min="1" outlineLevel="0" width="36.0000006766647"/>
    <col customWidth="true" max="3" min="2" outlineLevel="0" width="20.0000006766647"/>
    <col customWidth="true" max="4" min="4" outlineLevel="0" width="26.0000003383324"/>
  </cols>
  <sheetData>
    <row customHeight="true" ht="39.75" outlineLevel="0" r="1">
      <c r="A1" s="26" t="s">
        <v>41</v>
      </c>
      <c r="B1" s="26" t="s"/>
      <c r="C1" s="26" t="s"/>
      <c r="D1" s="26" t="s"/>
    </row>
    <row customHeight="true" ht="15" outlineLevel="0" r="2">
      <c r="A2" s="2" t="s">
        <v>42</v>
      </c>
      <c r="B2" s="2" t="s"/>
      <c r="C2" s="2" t="s"/>
      <c r="D2" s="2" t="s"/>
    </row>
    <row customHeight="true" ht="15" outlineLevel="0" r="4">
      <c r="A4" s="3" t="s">
        <v>43</v>
      </c>
      <c r="B4" s="3" t="s"/>
      <c r="C4" s="3" t="s"/>
      <c r="D4" s="3" t="s"/>
    </row>
    <row customHeight="true" ht="25.5" outlineLevel="0" r="5">
      <c r="A5" s="4" t="s">
        <v>44</v>
      </c>
      <c r="B5" s="12" t="n">
        <v>420000</v>
      </c>
      <c r="C5" s="7" t="s">
        <v>45</v>
      </c>
      <c r="D5" s="7" t="s"/>
    </row>
    <row customHeight="true" ht="25.5" outlineLevel="0" r="6">
      <c r="A6" s="4" t="s">
        <v>46</v>
      </c>
      <c r="B6" s="12" t="n">
        <v>210000</v>
      </c>
      <c r="C6" s="7" t="s">
        <v>47</v>
      </c>
      <c r="D6" s="7" t="s"/>
    </row>
    <row customHeight="true" ht="25.5" outlineLevel="0" r="7">
      <c r="A7" s="4" t="s">
        <v>48</v>
      </c>
      <c r="B7" s="12" t="n">
        <v>20000</v>
      </c>
      <c r="C7" s="7" t="s">
        <v>49</v>
      </c>
      <c r="D7" s="7" t="s"/>
    </row>
    <row customHeight="true" ht="25.5" outlineLevel="0" r="8">
      <c r="A8" s="4" t="s">
        <v>50</v>
      </c>
      <c r="B8" s="12" t="n">
        <v>0</v>
      </c>
      <c r="C8" s="7" t="s">
        <v>51</v>
      </c>
      <c r="D8" s="7" t="s"/>
    </row>
    <row customHeight="true" ht="25.5" outlineLevel="0" r="9">
      <c r="A9" s="4" t="s">
        <v>52</v>
      </c>
      <c r="B9" s="12" t="n">
        <v>20000</v>
      </c>
      <c r="C9" s="7" t="s">
        <v>53</v>
      </c>
      <c r="D9" s="7" t="s"/>
    </row>
    <row customHeight="true" ht="25.5" outlineLevel="0" r="10">
      <c r="A10" s="4" t="s">
        <v>54</v>
      </c>
      <c r="B10" s="12" t="n">
        <v>20000</v>
      </c>
      <c r="C10" s="7" t="s">
        <v>55</v>
      </c>
      <c r="D10" s="7" t="s"/>
    </row>
    <row customHeight="true" ht="27.75" outlineLevel="0" r="11">
      <c r="A11" s="4" t="s">
        <v>56</v>
      </c>
      <c r="B11" s="27" t="n">
        <f aca="false" ca="false" dt2D="false" dtr="false" t="normal">SUM(B5:B10)</f>
        <v>690000</v>
      </c>
      <c r="C11" s="28" t="s">
        <v>57</v>
      </c>
      <c r="D11" s="28" t="s"/>
    </row>
    <row customHeight="true" ht="15" outlineLevel="0" r="13">
      <c r="A13" s="3" t="s">
        <v>58</v>
      </c>
      <c r="B13" s="3" t="s"/>
      <c r="C13" s="3" t="s"/>
      <c r="D13" s="3" t="s"/>
    </row>
    <row customHeight="true" ht="25.5" outlineLevel="0" r="14">
      <c r="A14" s="4" t="s">
        <v>59</v>
      </c>
      <c r="B14" s="29" t="n">
        <v>4790</v>
      </c>
      <c r="C14" s="7" t="s">
        <v>60</v>
      </c>
      <c r="D14" s="7" t="s"/>
    </row>
    <row customHeight="true" ht="25.5" outlineLevel="0" r="15">
      <c r="A15" s="4" t="s">
        <v>61</v>
      </c>
      <c r="B15" s="29" t="n">
        <v>0</v>
      </c>
      <c r="C15" s="7" t="s">
        <v>62</v>
      </c>
      <c r="D15" s="7" t="s"/>
    </row>
    <row customHeight="true" ht="25.5" outlineLevel="0" r="16">
      <c r="A16" s="4" t="s">
        <v>63</v>
      </c>
      <c r="B16" s="29" t="n">
        <v>110000</v>
      </c>
      <c r="C16" s="7" t="s">
        <v>64</v>
      </c>
      <c r="D16" s="7" t="s"/>
    </row>
    <row customHeight="true" ht="25.5" outlineLevel="0" r="17">
      <c r="A17" s="4" t="s">
        <v>65</v>
      </c>
      <c r="B17" s="29" t="n">
        <v>110000</v>
      </c>
      <c r="C17" s="7" t="s">
        <v>66</v>
      </c>
      <c r="D17" s="7" t="s"/>
    </row>
    <row customHeight="true" ht="25.5" outlineLevel="0" r="18">
      <c r="A18" s="4" t="s">
        <v>67</v>
      </c>
      <c r="B18" s="29" t="n">
        <v>20000</v>
      </c>
      <c r="C18" s="7" t="s">
        <v>68</v>
      </c>
      <c r="D18" s="7" t="s"/>
    </row>
    <row customHeight="true" ht="27.75" outlineLevel="0" r="19">
      <c r="A19" s="4" t="s">
        <v>69</v>
      </c>
      <c r="B19" s="30" t="n">
        <f aca="false" ca="false" dt2D="false" dtr="false" t="normal">SUM(B14:B18)</f>
        <v>244790</v>
      </c>
      <c r="C19" s="0" t="n"/>
      <c r="D19" s="0" t="s"/>
    </row>
    <row customHeight="true" ht="15" outlineLevel="0" r="21">
      <c r="A21" s="3" t="s">
        <v>70</v>
      </c>
      <c r="B21" s="3" t="s"/>
      <c r="C21" s="3" t="s"/>
      <c r="D21" s="3" t="s"/>
    </row>
    <row customHeight="true" ht="27.75" outlineLevel="0" r="22">
      <c r="A22" s="4" t="s">
        <v>71</v>
      </c>
      <c r="B22" s="31" t="n">
        <f aca="false" ca="false" dt2D="false" dtr="false" t="normal">B11+B19*12</f>
        <v>3627480</v>
      </c>
      <c r="C22" s="7" t="s">
        <v>72</v>
      </c>
      <c r="D22" s="7" t="s"/>
    </row>
    <row customHeight="true" ht="27.75" outlineLevel="0" r="23">
      <c r="A23" s="4" t="s">
        <v>73</v>
      </c>
      <c r="B23" s="32" t="n">
        <f aca="false" ca="false" dt2D="false" dtr="false" t="normal">B19</f>
        <v>244790</v>
      </c>
      <c r="C23" s="7" t="s">
        <v>74</v>
      </c>
      <c r="D23" s="7" t="s"/>
    </row>
    <row customHeight="true" ht="27.75" outlineLevel="0" r="24">
      <c r="A24" s="4" t="s">
        <v>75</v>
      </c>
      <c r="B24" s="31" t="n">
        <f aca="false" ca="false" dt2D="false" dtr="false" t="normal">B22+B23*2</f>
        <v>4117060</v>
      </c>
      <c r="C24" s="7" t="s">
        <v>76</v>
      </c>
      <c r="D24" s="7" t="s"/>
    </row>
    <row customHeight="true" ht="21.75" outlineLevel="0" r="26">
      <c r="A26" s="33" t="s">
        <v>77</v>
      </c>
      <c r="B26" s="33" t="s"/>
      <c r="C26" s="33" t="s"/>
      <c r="D26" s="33" t="s"/>
    </row>
    <row customHeight="true" ht="27.75" outlineLevel="0" r="27">
      <c r="A27" s="4" t="s">
        <v>78</v>
      </c>
      <c r="B27" s="34" t="n">
        <f aca="false" ca="false" dt2D="false" dtr="false" t="normal">IF(B11=0, 0, (B6+B7+B8)/B11)</f>
        <v>0.333333333333333</v>
      </c>
      <c r="C27" s="35" t="str">
        <f aca="false" ca="false" dt2D="false" dtr="false" t="normal">IF(B11=0, "введите CapEx", IF((B6+B7+B8)/B11&lt;0.3, "🟢 Хорошо — скрытые расходы под контролем", IF((B6+B7+B8)/B11&lt;0.5, "🟡 Внимание — скрытые расходы значительны", "🔴 Стоп — скрытые расходы превышают 50% CapEx")))</f>
        <v>🟡 Внимание — скрытые расходы значительны</v>
      </c>
      <c r="D27" s="35" t="s"/>
    </row>
    <row customHeight="true" ht="18" outlineLevel="0" r="29">
      <c r="A29" s="25" t="s">
        <v>79</v>
      </c>
      <c r="B29" s="25" t="s"/>
      <c r="C29" s="25" t="s"/>
      <c r="D29" s="25" t="s"/>
    </row>
  </sheetData>
  <mergeCells count="24">
    <mergeCell ref="A29:D29"/>
    <mergeCell ref="A26:D26"/>
    <mergeCell ref="A21:D21"/>
    <mergeCell ref="C27:D27"/>
    <mergeCell ref="C24:D24"/>
    <mergeCell ref="C23:D23"/>
    <mergeCell ref="C22:D22"/>
    <mergeCell ref="C19:D19"/>
    <mergeCell ref="C18:D18"/>
    <mergeCell ref="C17:D17"/>
    <mergeCell ref="C16:D16"/>
    <mergeCell ref="C15:D15"/>
    <mergeCell ref="C14:D14"/>
    <mergeCell ref="C11:D11"/>
    <mergeCell ref="C10:D10"/>
    <mergeCell ref="C9:D9"/>
    <mergeCell ref="C8:D8"/>
    <mergeCell ref="C7:D7"/>
    <mergeCell ref="C6:D6"/>
    <mergeCell ref="C5:D5"/>
    <mergeCell ref="A1:D1"/>
    <mergeCell ref="A2:D2"/>
    <mergeCell ref="A4:D4"/>
    <mergeCell ref="A13:D13"/>
  </mergeCells>
  <pageMargins bottom="1" footer="0.511811017990112" header="0.511811017990112" left="0.75" right="0.75" top="1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D35"/>
  <sheetViews>
    <sheetView showZeros="true" workbookViewId="0"/>
  </sheetViews>
  <sheetFormatPr baseColWidth="8" customHeight="false" defaultColWidth="8.66406252246738" defaultRowHeight="14.3999996185303" zeroHeight="false"/>
  <cols>
    <col customWidth="true" max="1" min="1" outlineLevel="0" width="36.0000006766647"/>
    <col customWidth="true" max="3" min="2" outlineLevel="0" width="21.9999996616676"/>
    <col customWidth="true" max="4" min="4" outlineLevel="0" width="26.0000003383324"/>
  </cols>
  <sheetData>
    <row customHeight="true" ht="39.75" outlineLevel="0" r="1">
      <c r="A1" s="26" t="s">
        <v>80</v>
      </c>
      <c r="B1" s="26" t="s"/>
      <c r="C1" s="26" t="s"/>
      <c r="D1" s="26" t="s"/>
    </row>
    <row customHeight="true" ht="15" outlineLevel="0" r="2">
      <c r="A2" s="2" t="s">
        <v>81</v>
      </c>
      <c r="B2" s="2" t="s"/>
      <c r="C2" s="2" t="s"/>
      <c r="D2" s="2" t="s"/>
    </row>
    <row customHeight="true" ht="15" outlineLevel="0" r="4">
      <c r="A4" s="3" t="s">
        <v>82</v>
      </c>
      <c r="B4" s="3" t="s"/>
      <c r="C4" s="3" t="s"/>
      <c r="D4" s="3" t="s"/>
    </row>
    <row customHeight="true" ht="25.5" outlineLevel="0" r="5">
      <c r="A5" s="4" t="s">
        <v>83</v>
      </c>
      <c r="B5" s="19" t="n">
        <f aca="false" ca="false" dt2D="false" dtr="false" t="normal">'1. Мой процесс'!B22</f>
        <v>0.7</v>
      </c>
      <c r="C5" s="7" t="s">
        <v>84</v>
      </c>
      <c r="D5" s="7" t="s"/>
    </row>
    <row customHeight="true" ht="25.5" outlineLevel="0" r="6">
      <c r="A6" s="4" t="s">
        <v>85</v>
      </c>
      <c r="B6" s="21" t="n">
        <f aca="false" ca="false" dt2D="false" dtr="false" t="normal">'1. Мой процесс'!B23</f>
        <v>637000</v>
      </c>
      <c r="C6" s="7" t="s">
        <v>86</v>
      </c>
      <c r="D6" s="7" t="s"/>
    </row>
    <row customHeight="true" ht="25.5" outlineLevel="0" r="7">
      <c r="A7" s="4" t="s">
        <v>87</v>
      </c>
      <c r="B7" s="23" t="n">
        <f aca="false" ca="false" dt2D="false" dtr="false" t="normal">'1. Мой процесс'!B24</f>
        <v>445900</v>
      </c>
      <c r="C7" s="7" t="s">
        <v>88</v>
      </c>
      <c r="D7" s="7" t="s"/>
    </row>
    <row customHeight="true" ht="25.5" outlineLevel="0" r="8">
      <c r="A8" s="4" t="s">
        <v>89</v>
      </c>
      <c r="B8" s="21" t="n">
        <f aca="false" ca="false" dt2D="false" dtr="false" t="normal">B7*12</f>
        <v>5350800</v>
      </c>
      <c r="C8" s="7" t="s">
        <v>90</v>
      </c>
      <c r="D8" s="7" t="s"/>
    </row>
    <row customHeight="true" ht="21.75" outlineLevel="0" r="10">
      <c r="A10" s="3" t="s">
        <v>91</v>
      </c>
      <c r="B10" s="3" t="s"/>
      <c r="C10" s="3" t="s"/>
      <c r="D10" s="3" t="s"/>
    </row>
    <row customHeight="true" ht="27.75" outlineLevel="0" r="11">
      <c r="A11" s="4" t="s">
        <v>92</v>
      </c>
      <c r="B11" s="14" t="n">
        <v>0.05</v>
      </c>
      <c r="C11" s="7" t="s">
        <v>93</v>
      </c>
      <c r="D11" s="7" t="s"/>
    </row>
    <row customHeight="true" ht="27.75" outlineLevel="0" r="12">
      <c r="A12" s="4" t="s">
        <v>94</v>
      </c>
      <c r="B12" s="29" t="n">
        <v>5000000</v>
      </c>
      <c r="C12" s="7" t="s">
        <v>95</v>
      </c>
      <c r="D12" s="7" t="s"/>
    </row>
    <row customHeight="true" ht="27.75" outlineLevel="0" r="13">
      <c r="A13" s="4" t="s">
        <v>96</v>
      </c>
      <c r="B13" s="14" t="n">
        <v>0.02</v>
      </c>
      <c r="C13" s="7" t="s">
        <v>97</v>
      </c>
      <c r="D13" s="7" t="s"/>
    </row>
    <row customHeight="true" ht="27.75" outlineLevel="0" r="14">
      <c r="A14" s="4" t="s">
        <v>98</v>
      </c>
      <c r="B14" s="29" t="n">
        <v>100000</v>
      </c>
      <c r="C14" s="7" t="s">
        <v>99</v>
      </c>
      <c r="D14" s="7" t="s"/>
    </row>
    <row customHeight="true" ht="27.75" outlineLevel="0" r="15">
      <c r="A15" s="4" t="s">
        <v>100</v>
      </c>
      <c r="B15" s="23" t="n">
        <f aca="false" ca="false" dt2D="false" dtr="false" t="normal">B12*B11+B14*B13</f>
        <v>252000</v>
      </c>
      <c r="C15" s="7" t="s">
        <v>101</v>
      </c>
      <c r="D15" s="7" t="s"/>
    </row>
    <row customHeight="true" ht="25.5" outlineLevel="0" r="16">
      <c r="A16" s="4" t="s">
        <v>102</v>
      </c>
      <c r="B16" s="21" t="n">
        <f aca="false" ca="false" dt2D="false" dtr="false" t="normal">B15*12</f>
        <v>3024000</v>
      </c>
      <c r="C16" s="7" t="s">
        <v>90</v>
      </c>
      <c r="D16" s="7" t="s"/>
    </row>
    <row customHeight="true" ht="15" outlineLevel="0" r="18">
      <c r="A18" s="3" t="s">
        <v>103</v>
      </c>
      <c r="B18" s="3" t="s"/>
      <c r="C18" s="3" t="s"/>
      <c r="D18" s="3" t="s"/>
    </row>
    <row customHeight="true" ht="25.5" outlineLevel="0" r="19">
      <c r="A19" s="4" t="s">
        <v>104</v>
      </c>
      <c r="B19" s="23" t="n">
        <f aca="false" ca="false" dt2D="false" dtr="false" t="normal">B7+B15</f>
        <v>697900</v>
      </c>
      <c r="C19" s="7" t="s">
        <v>105</v>
      </c>
      <c r="D19" s="7" t="s"/>
    </row>
    <row customHeight="true" ht="25.5" outlineLevel="0" r="20">
      <c r="A20" s="4" t="s">
        <v>106</v>
      </c>
      <c r="B20" s="21" t="n">
        <f aca="false" ca="false" dt2D="false" dtr="false" t="normal">B19*12</f>
        <v>8374800</v>
      </c>
      <c r="C20" s="7" t="s">
        <v>90</v>
      </c>
      <c r="D20" s="7" t="s"/>
    </row>
    <row customHeight="true" ht="25.5" outlineLevel="0" r="21">
      <c r="A21" s="4" t="s">
        <v>107</v>
      </c>
      <c r="B21" s="36" t="n">
        <f aca="false" ca="false" dt2D="false" dtr="false" t="normal">'2. Бюджет (TCO)'!B19</f>
        <v>244790</v>
      </c>
      <c r="C21" s="7" t="s">
        <v>108</v>
      </c>
      <c r="D21" s="7" t="s"/>
    </row>
    <row customHeight="true" ht="25.5" outlineLevel="0" r="22">
      <c r="A22" s="4" t="s">
        <v>109</v>
      </c>
      <c r="B22" s="23" t="n">
        <f aca="false" ca="false" dt2D="false" dtr="false" t="normal">B19-B21</f>
        <v>453110</v>
      </c>
      <c r="C22" s="7" t="s">
        <v>110</v>
      </c>
      <c r="D22" s="7" t="s"/>
    </row>
    <row customHeight="true" ht="15" outlineLevel="0" r="24">
      <c r="A24" s="3" t="s">
        <v>111</v>
      </c>
      <c r="B24" s="3" t="s"/>
      <c r="C24" s="3" t="s"/>
      <c r="D24" s="3" t="s"/>
    </row>
    <row customHeight="true" ht="31.5" outlineLevel="0" r="25">
      <c r="A25" s="4" t="s">
        <v>112</v>
      </c>
      <c r="B25" s="37" t="n">
        <f aca="false" ca="false" dt2D="false" dtr="false" t="normal">IF('2. Бюджет (TCO)'!B22=0, 0, (B20-'2. Бюджет (TCO)'!B22)/'2. Бюджет (TCO)'!B22)</f>
        <v>1.30871017896722</v>
      </c>
      <c r="C25" s="35" t="str">
        <f aca="false" ca="false" dt2D="false" dtr="false" t="normal">IF('2. Бюджет (TCO)'!B22=0, "", IF((B20-'2. Бюджет (TCO)'!B22)/'2. Бюджет (TCO)'!B22&gt;1, "🟢 Отличный результат (&gt;100%)", IF((B20-'2. Бюджет (TCO)'!B22)/'2. Бюджет (TCO)'!B22&gt;0, "🟡 Положительный ROI", "🔴 Проект убыточен — пересмотрите параметры")))</f>
        <v>🟢 Отличный результат (&gt;100%)</v>
      </c>
      <c r="D25" s="35" t="s"/>
    </row>
    <row customHeight="true" ht="31.5" outlineLevel="0" r="26">
      <c r="A26" s="4" t="s">
        <v>113</v>
      </c>
      <c r="B26" s="38" t="n">
        <f aca="false" ca="false" dt2D="false" dtr="false" t="normal">IF(B22&lt;=0, "нет окупаемости", ROUND('2. Бюджет (TCO)'!B11/B22, 1))</f>
        <v>1.5</v>
      </c>
      <c r="C26" s="35" t="str">
        <f aca="false" ca="false" dt2D="false" dtr="false" t="normal">IF(B22&lt;=0, "🔴 Проект не окупается", IF('2. Бюджет (TCO)'!B11/B22&lt;=9, "🟢 Отлично — до 9 месяцев", IF('2. Бюджет (TCO)'!B11/B22&lt;=18, "🟡 Хорошо — 9–18 месяцев", "🔴 Риск — более 18 месяцев")))</f>
        <v>🟢 Отлично — до 9 месяцев</v>
      </c>
      <c r="D26" s="35" t="s"/>
    </row>
    <row customHeight="true" ht="15" outlineLevel="0" r="28">
      <c r="A28" s="3" t="s">
        <v>114</v>
      </c>
      <c r="B28" s="3" t="s"/>
      <c r="C28" s="3" t="s"/>
      <c r="D28" s="3" t="s"/>
    </row>
    <row customHeight="true" ht="24" outlineLevel="0" r="29">
      <c r="A29" s="4" t="s">
        <v>115</v>
      </c>
      <c r="B29" s="14" t="n">
        <v>0.12</v>
      </c>
      <c r="C29" s="7" t="s">
        <v>116</v>
      </c>
      <c r="D29" s="7" t="s"/>
    </row>
    <row customHeight="true" ht="25.5" outlineLevel="0" r="30">
      <c r="A30" s="4" t="s">
        <v>117</v>
      </c>
      <c r="B30" s="21" t="n">
        <f aca="false" ca="false" dt2D="false" dtr="false" t="normal">B22*12/(1+B29)^1</f>
        <v>4854750</v>
      </c>
      <c r="C30" s="7" t="s">
        <v>118</v>
      </c>
      <c r="D30" s="7" t="s"/>
    </row>
    <row customHeight="true" ht="25.5" outlineLevel="0" r="31">
      <c r="A31" s="4" t="s">
        <v>119</v>
      </c>
      <c r="B31" s="21" t="n">
        <f aca="false" ca="false" dt2D="false" dtr="false" t="normal">B22*12*1.1/(1+B29)^2</f>
        <v>4768058.03571429</v>
      </c>
      <c r="C31" s="7" t="s">
        <v>120</v>
      </c>
      <c r="D31" s="7" t="s"/>
    </row>
    <row customHeight="true" ht="25.5" outlineLevel="0" r="32">
      <c r="A32" s="4" t="s">
        <v>121</v>
      </c>
      <c r="B32" s="21" t="n">
        <f aca="false" ca="false" dt2D="false" dtr="false" t="normal">B22*12*1.1/(1+B29)^3</f>
        <v>4257194.6747449</v>
      </c>
      <c r="C32" s="7" t="s">
        <v>122</v>
      </c>
      <c r="D32" s="7" t="s"/>
    </row>
    <row customHeight="true" ht="31.5" outlineLevel="0" r="33">
      <c r="A33" s="4" t="s">
        <v>123</v>
      </c>
      <c r="B33" s="39" t="n">
        <f aca="false" ca="false" dt2D="false" dtr="false" t="normal">B30+B31+B32-'2. Бюджет (TCO)'!B11</f>
        <v>13190002.7104592</v>
      </c>
      <c r="C33" s="40" t="str">
        <f aca="false" ca="false" dt2D="false" dtr="false" t="normal">IF(B30+B31+B32-'2. Бюджет (TCO)'!B11&gt;0, "🟢 NPV положительный — проект выгоден", "🔴 NPV отрицательный — проект убыточен даже с учётом будущих доходов")</f>
        <v>🟢 NPV положительный — проект выгоден</v>
      </c>
      <c r="D33" s="40" t="s"/>
    </row>
    <row customHeight="true" ht="18" outlineLevel="0" r="35">
      <c r="A35" s="25" t="s">
        <v>124</v>
      </c>
      <c r="B35" s="25" t="s"/>
      <c r="C35" s="25" t="s"/>
      <c r="D35" s="25" t="s"/>
    </row>
  </sheetData>
  <mergeCells count="29">
    <mergeCell ref="A35:D35"/>
    <mergeCell ref="C33:D33"/>
    <mergeCell ref="C32:D32"/>
    <mergeCell ref="C31:D31"/>
    <mergeCell ref="A28:D28"/>
    <mergeCell ref="A24:D24"/>
    <mergeCell ref="C25:D25"/>
    <mergeCell ref="C26:D26"/>
    <mergeCell ref="C29:D29"/>
    <mergeCell ref="C30:D30"/>
    <mergeCell ref="A1:D1"/>
    <mergeCell ref="A2:D2"/>
    <mergeCell ref="A4:D4"/>
    <mergeCell ref="C5:D5"/>
    <mergeCell ref="C6:D6"/>
    <mergeCell ref="C7:D7"/>
    <mergeCell ref="C8:D8"/>
    <mergeCell ref="A10:D10"/>
    <mergeCell ref="C11:D11"/>
    <mergeCell ref="C22:D22"/>
    <mergeCell ref="C21:D21"/>
    <mergeCell ref="C20:D20"/>
    <mergeCell ref="C19:D19"/>
    <mergeCell ref="A18:D18"/>
    <mergeCell ref="C16:D16"/>
    <mergeCell ref="C15:D15"/>
    <mergeCell ref="C14:D14"/>
    <mergeCell ref="C13:D13"/>
    <mergeCell ref="C12:D12"/>
  </mergeCells>
  <pageMargins bottom="1" footer="0.511811017990112" header="0.511811017990112" left="0.75" right="0.75" top="1"/>
  <pageSetup fitToHeight="0" fitToWidth="0" orientation="portrait" paperHeight="297mm" paperSize="9" paperWidth="210mm" scale="100"/>
</worksheet>
</file>

<file path=xl/worksheets/sheet4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D31"/>
  <sheetViews>
    <sheetView showZeros="true" workbookViewId="0"/>
  </sheetViews>
  <sheetFormatPr baseColWidth="8" customHeight="false" defaultColWidth="8.66406252246738" defaultRowHeight="14.3999996185303" zeroHeight="false"/>
  <cols>
    <col customWidth="true" max="1" min="1" outlineLevel="0" width="36.0000006766647"/>
    <col customWidth="true" max="3" min="2" outlineLevel="0" width="20.0000006766647"/>
    <col customWidth="true" max="4" min="4" outlineLevel="0" width="30.0000010149971"/>
  </cols>
  <sheetData>
    <row customHeight="true" ht="39.75" outlineLevel="0" r="1">
      <c r="A1" s="26" t="s">
        <v>125</v>
      </c>
      <c r="B1" s="26" t="s"/>
      <c r="C1" s="26" t="s"/>
      <c r="D1" s="26" t="s"/>
    </row>
    <row customHeight="true" ht="15" outlineLevel="0" r="2">
      <c r="A2" s="2" t="s">
        <v>126</v>
      </c>
      <c r="B2" s="2" t="s"/>
      <c r="C2" s="2" t="s"/>
      <c r="D2" s="2" t="s"/>
    </row>
    <row customHeight="true" ht="15" outlineLevel="0" r="4">
      <c r="A4" s="3" t="s">
        <v>127</v>
      </c>
      <c r="B4" s="3" t="s"/>
      <c r="C4" s="3" t="s"/>
      <c r="D4" s="3" t="s"/>
    </row>
    <row customHeight="true" ht="24" outlineLevel="0" r="5">
      <c r="A5" s="4" t="s">
        <v>128</v>
      </c>
      <c r="B5" s="31" t="n">
        <f aca="false" ca="false" dt2D="false" dtr="false" t="normal">'2. Бюджет (TCO)'!B11</f>
        <v>690000</v>
      </c>
      <c r="C5" s="41" t="s">
        <v>129</v>
      </c>
      <c r="D5" s="41" t="s"/>
    </row>
    <row customHeight="true" ht="24" outlineLevel="0" r="6">
      <c r="A6" s="4" t="s">
        <v>130</v>
      </c>
      <c r="B6" s="32" t="n">
        <f aca="false" ca="false" dt2D="false" dtr="false" t="normal">'2. Бюджет (TCO)'!B19</f>
        <v>244790</v>
      </c>
      <c r="C6" s="41" t="s">
        <v>129</v>
      </c>
      <c r="D6" s="41" t="s"/>
    </row>
    <row customHeight="true" ht="24" outlineLevel="0" r="7">
      <c r="A7" s="4" t="s">
        <v>131</v>
      </c>
      <c r="B7" s="32" t="n">
        <f aca="false" ca="false" dt2D="false" dtr="false" t="normal">'3. Эффект и окупаемость'!B19</f>
        <v>697900</v>
      </c>
      <c r="C7" s="41" t="s">
        <v>129</v>
      </c>
      <c r="D7" s="41" t="s"/>
    </row>
    <row customHeight="true" ht="24" outlineLevel="0" r="8">
      <c r="A8" s="4" t="s">
        <v>132</v>
      </c>
      <c r="B8" s="42" t="n">
        <f aca="false" ca="false" dt2D="false" dtr="false" t="normal">'3. Эффект и окупаемость'!B26</f>
        <v>1.5</v>
      </c>
      <c r="C8" s="41" t="s">
        <v>129</v>
      </c>
      <c r="D8" s="41" t="s"/>
    </row>
    <row customHeight="true" ht="24" outlineLevel="0" r="9">
      <c r="A9" s="4" t="s">
        <v>133</v>
      </c>
      <c r="B9" s="43" t="n">
        <f aca="false" ca="false" dt2D="false" dtr="false" t="normal">'3. Эффект и окупаемость'!B25</f>
        <v>1.30871017896722</v>
      </c>
      <c r="C9" s="41" t="s">
        <v>129</v>
      </c>
      <c r="D9" s="41" t="s"/>
    </row>
    <row customHeight="true" ht="15" outlineLevel="0" r="11">
      <c r="A11" s="3" t="s">
        <v>134</v>
      </c>
      <c r="B11" s="3" t="s"/>
      <c r="C11" s="3" t="s"/>
      <c r="D11" s="3" t="s"/>
    </row>
    <row customHeight="true" ht="19.5" outlineLevel="0" r="12">
      <c r="A12" s="44" t="s">
        <v>135</v>
      </c>
      <c r="B12" s="45" t="s">
        <v>136</v>
      </c>
      <c r="C12" s="45" t="s">
        <v>137</v>
      </c>
      <c r="D12" s="45" t="s"/>
    </row>
    <row customHeight="true" ht="25.5" outlineLevel="0" r="13">
      <c r="A13" s="4" t="s">
        <v>138</v>
      </c>
      <c r="B13" s="10" t="n">
        <v>2</v>
      </c>
      <c r="C13" s="7" t="s">
        <v>139</v>
      </c>
      <c r="D13" s="7" t="s"/>
    </row>
    <row customHeight="true" ht="25.5" outlineLevel="0" r="14">
      <c r="A14" s="4" t="s">
        <v>140</v>
      </c>
      <c r="B14" s="10" t="n">
        <v>0.7</v>
      </c>
      <c r="C14" s="7" t="s">
        <v>141</v>
      </c>
      <c r="D14" s="7" t="s"/>
    </row>
    <row customHeight="true" ht="25.5" outlineLevel="0" r="15">
      <c r="A15" s="4" t="s">
        <v>142</v>
      </c>
      <c r="B15" s="10" t="n">
        <v>1.5</v>
      </c>
      <c r="C15" s="7" t="s">
        <v>143</v>
      </c>
      <c r="D15" s="7" t="s"/>
    </row>
    <row customHeight="true" ht="25.5" outlineLevel="0" r="16">
      <c r="A16" s="4" t="s">
        <v>144</v>
      </c>
      <c r="B16" s="10" t="n">
        <v>2</v>
      </c>
      <c r="C16" s="7" t="s">
        <v>145</v>
      </c>
      <c r="D16" s="7" t="s"/>
    </row>
    <row customHeight="true" ht="15" outlineLevel="0" r="18">
      <c r="A18" s="3" t="s">
        <v>146</v>
      </c>
      <c r="B18" s="3" t="s"/>
      <c r="C18" s="3" t="s"/>
      <c r="D18" s="3" t="s"/>
    </row>
    <row customHeight="true" ht="25.5" outlineLevel="0" r="19">
      <c r="A19" s="4" t="s">
        <v>147</v>
      </c>
      <c r="B19" s="21" t="n">
        <f aca="false" ca="false" dt2D="false" dtr="false" t="normal">'2. Бюджет (TCO)'!B5+'2. Бюджет (TCO)'!B7+'2. Бюджет (TCO)'!B8+'2. Бюджет (TCO)'!B9+'2. Бюджет (TCO)'!B10+'2. Бюджет (TCO)'!B6*B13</f>
        <v>900000</v>
      </c>
      <c r="C19" s="7" t="s">
        <v>148</v>
      </c>
      <c r="D19" s="7" t="s"/>
    </row>
    <row customHeight="true" ht="25.5" outlineLevel="0" r="20">
      <c r="A20" s="4" t="s">
        <v>149</v>
      </c>
      <c r="B20" s="36" t="n">
        <f aca="false" ca="false" dt2D="false" dtr="false" t="normal">'2. Бюджет (TCO)'!B14*B15+'2. Бюджет (TCO)'!B15+'2. Бюджет (TCO)'!B16+'2. Бюджет (TCO)'!B17+'2. Бюджет (TCO)'!B18</f>
        <v>247185</v>
      </c>
      <c r="C20" s="7" t="s">
        <v>150</v>
      </c>
      <c r="D20" s="7" t="s"/>
    </row>
    <row customHeight="true" ht="25.5" outlineLevel="0" r="21">
      <c r="A21" s="4" t="s">
        <v>151</v>
      </c>
      <c r="B21" s="36" t="n">
        <f aca="false" ca="false" dt2D="false" dtr="false" t="normal">B7*B14</f>
        <v>488530</v>
      </c>
      <c r="C21" s="7" t="s">
        <v>152</v>
      </c>
      <c r="D21" s="7" t="s"/>
    </row>
    <row customHeight="true" ht="25.5" outlineLevel="0" r="22">
      <c r="A22" s="4" t="s">
        <v>153</v>
      </c>
      <c r="B22" s="36" t="n">
        <f aca="false" ca="false" dt2D="false" dtr="false" t="normal">B21-B20</f>
        <v>241345</v>
      </c>
      <c r="C22" s="0" t="n"/>
      <c r="D22" s="0" t="s"/>
    </row>
    <row customHeight="true" ht="31.5" outlineLevel="0" r="24">
      <c r="A24" s="4" t="s">
        <v>154</v>
      </c>
      <c r="B24" s="46" t="n">
        <f aca="false" ca="false" dt2D="false" dtr="false" t="normal">IF(B22&lt;=0, "не окупается", ROUND((B19+'2. Бюджет (TCO)'!B19*B16)/B22, 1))</f>
        <v>5.8</v>
      </c>
      <c r="C24" s="35" t="str">
        <f aca="false" ca="false" dt2D="false" dtr="false" t="normal">IF(B22&lt;=0, "🔴 Проект не окупается в этом сценарии", IF((B19+'2. Бюджет (TCO)'!B19*B16)/B22&lt;=18, "🟡 Окупается, но позже", "🔴 Более 18 месяцев — высокий риск"))</f>
        <v>🟡 Окупается, но позже</v>
      </c>
      <c r="D24" s="35" t="s"/>
    </row>
    <row customHeight="true" ht="31.5" outlineLevel="0" r="25">
      <c r="A25" s="4" t="s">
        <v>155</v>
      </c>
      <c r="B25" s="47" t="n">
        <f aca="false" ca="false" dt2D="false" dtr="false" t="normal">IF(B19=0, 0, (B21*12-(B19+'2. Бюджет (TCO)'!B19*B16+B20*12))/(B19+'2. Бюджет (TCO)'!B19*B16+B20*12))</f>
        <v>0.345874466228936</v>
      </c>
      <c r="C25" s="0" t="n"/>
      <c r="D25" s="0" t="s"/>
    </row>
    <row customHeight="true" ht="21.75" outlineLevel="0" r="27">
      <c r="A27" s="48" t="s">
        <v>156</v>
      </c>
      <c r="B27" s="48" t="s"/>
      <c r="C27" s="48" t="s"/>
      <c r="D27" s="48" t="s"/>
    </row>
    <row customHeight="true" ht="49.5" outlineLevel="0" r="28">
      <c r="A28" s="49" t="s">
        <v>157</v>
      </c>
      <c r="B28" s="49" t="s"/>
      <c r="C28" s="49" t="s"/>
      <c r="D28" s="49" t="s"/>
    </row>
    <row customHeight="true" ht="39.75" outlineLevel="0" r="29">
      <c r="A29" s="50" t="s">
        <v>158</v>
      </c>
      <c r="B29" s="51" t="s"/>
      <c r="C29" s="51" t="s"/>
      <c r="D29" s="52" t="s"/>
    </row>
    <row customHeight="true" ht="19.5" outlineLevel="0" r="31">
      <c r="A31" s="53" t="s">
        <v>159</v>
      </c>
      <c r="B31" s="53" t="s"/>
      <c r="C31" s="53" t="s"/>
      <c r="D31" s="53" t="s"/>
    </row>
  </sheetData>
  <mergeCells count="25">
    <mergeCell ref="A31:D31"/>
    <mergeCell ref="A29:D29"/>
    <mergeCell ref="A28:D28"/>
    <mergeCell ref="A27:D27"/>
    <mergeCell ref="C25:D25"/>
    <mergeCell ref="C24:D24"/>
    <mergeCell ref="A1:D1"/>
    <mergeCell ref="A2:D2"/>
    <mergeCell ref="A4:D4"/>
    <mergeCell ref="C5:D5"/>
    <mergeCell ref="C6:D6"/>
    <mergeCell ref="C7:D7"/>
    <mergeCell ref="C8:D8"/>
    <mergeCell ref="C9:D9"/>
    <mergeCell ref="C22:D22"/>
    <mergeCell ref="C21:D21"/>
    <mergeCell ref="C20:D20"/>
    <mergeCell ref="C19:D19"/>
    <mergeCell ref="A18:D18"/>
    <mergeCell ref="C16:D16"/>
    <mergeCell ref="C15:D15"/>
    <mergeCell ref="C14:D14"/>
    <mergeCell ref="C13:D13"/>
    <mergeCell ref="A11:D11"/>
    <mergeCell ref="C12:D12"/>
  </mergeCells>
  <pageMargins bottom="1" footer="0.511811017990112" header="0.511811017990112" left="0.75" right="0.75" top="1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MyOffice-CoreFramework-Windows/22-903.417.5503.534.7@RELEASE-DESKTOP-SORREL_HOME-RC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2026-08-08T11:07:07Z</dcterms:modified>
</cp:coreProperties>
</file>